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acarissimo/Documents/4 carrera/2o cuatri/TFG/parte 4/excels/"/>
    </mc:Choice>
  </mc:AlternateContent>
  <xr:revisionPtr revIDLastSave="0" documentId="8_{5C0BBF4B-989B-AB42-8A28-0ABAC44CF646}" xr6:coauthVersionLast="47" xr6:coauthVersionMax="47" xr10:uidLastSave="{00000000-0000-0000-0000-000000000000}"/>
  <bookViews>
    <workbookView xWindow="960" yWindow="660" windowWidth="27640" windowHeight="15880" xr2:uid="{C1C7B426-EE1B-EA4B-9474-38E39CC1FE5D}"/>
  </bookViews>
  <sheets>
    <sheet name="Hoj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<sst xmlns="http://schemas.openxmlformats.org/spreadsheetml/2006/main" count="29" uniqueCount="22">
  <si>
    <t>Tabla 14. Tipo GC Repo — Spread frente al tipo de facilidad de depósito del BCE (puntos básicos)</t>
  </si>
  <si>
    <t>NOTA: El Spread GC vs DFR refleja la diferencia entre el tipo del repo garantizado (General Collateral) y el tipo de la facilidad de depósito del BCE (DFR). Valores negativos indican que el repo cotiza por debajo del DFR, señal de escasez de colateral soberano. Fuente: BCE Euro Money Market Study 2024; ICMA ERCC Repo Survey.</t>
  </si>
  <si>
    <t>Año</t>
  </si>
  <si>
    <t>Spread GC vs DFR (p.b.)</t>
  </si>
  <si>
    <t>DFR BCE (%)</t>
  </si>
  <si>
    <t>Régimen</t>
  </si>
  <si>
    <t>Año (eje)</t>
  </si>
  <si>
    <t>QE</t>
  </si>
  <si>
    <t>2015</t>
  </si>
  <si>
    <t>2016</t>
  </si>
  <si>
    <t>2017</t>
  </si>
  <si>
    <t>2018</t>
  </si>
  <si>
    <t>2019</t>
  </si>
  <si>
    <t>COVID/PEPP</t>
  </si>
  <si>
    <t>2020</t>
  </si>
  <si>
    <t>2021</t>
  </si>
  <si>
    <t>QT</t>
  </si>
  <si>
    <t>2022</t>
  </si>
  <si>
    <t>2023</t>
  </si>
  <si>
    <t>2024</t>
  </si>
  <si>
    <t>QE = Expansión cuantitativa  |  COVID/PEPP = Programa pandemia  |  QT = Endurecimiento cuantitativo</t>
  </si>
  <si>
    <t>Fuente: BCE Euro Money Market Study 2024; ICMA ERCC Repo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</si>
</sst>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;\-0;0"/>
    <numFmt numFmtId="165" formatCode="\+0.00%;\-0.00%;0.00%"/>
  </numFmts>
  <fonts count="11" x14ac:knownFonts="1">
    <font>
      <sz val="12"/>
      <color theme="1"/>
      <name val="Aptos Narrow"/>
      <family val="2"/>
      <scheme val="minor"/>
    </font>
    <font>
      <b/>
      <sz val="12"/>
      <color rgb="FF0D1B2A"/>
      <name val="Calibri"/>
      <family val="2"/>
    </font>
    <font>
      <i/>
      <sz val="9"/>
      <color rgb="FF333333"/>
      <name val="Calibri"/>
      <family val="2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b/>
      <sz val="10"/>
      <color rgb="FFC0392B"/>
      <name val="Calibri"/>
      <family val="2"/>
    </font>
    <font>
      <b/>
      <sz val="10"/>
      <color rgb="FF1A3050"/>
      <name val="Calibri"/>
      <family val="2"/>
    </font>
    <font>
      <sz val="9"/>
      <color rgb="FF555555"/>
      <name val="Calibri"/>
      <family val="2"/>
    </font>
    <font>
      <b/>
      <sz val="10"/>
      <color rgb="FF1E6B3C"/>
      <name val="Calibri"/>
      <family val="2"/>
    </font>
    <font>
      <i/>
      <sz val="9"/>
      <color rgb="FF444444"/>
      <name val="Calibri"/>
      <family val="2"/>
    </font>
    <font>
      <i/>
      <sz val="9"/>
      <color rgb="FF555555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EF2F7"/>
      </patternFill>
    </fill>
    <fill>
      <patternFill patternType="solid">
        <fgColor rgb="FFE8630A"/>
      </patternFill>
    </fill>
    <fill>
      <patternFill patternType="solid">
        <fgColor rgb="FFFFF8E7"/>
      </patternFill>
    </fill>
    <fill>
      <patternFill patternType="solid">
        <fgColor rgb="FF0D1B2A"/>
      </patternFill>
    </fill>
    <fill>
      <patternFill patternType="solid">
        <fgColor rgb="FF888888"/>
      </patternFill>
    </fill>
    <fill>
      <patternFill patternType="solid">
        <fgColor rgb="FFDBE9F7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FDE8D8"/>
      </patternFill>
    </fill>
    <fill>
      <patternFill patternType="solid">
        <fgColor rgb="FFD5E8D4"/>
      </patternFill>
    </fill>
  </fills>
  <borders count="9">
    <border>
      <left/>
      <right/>
      <top/>
      <bottom/>
      <diagonal/>
    </border>
    <border>
      <left style="thin">
        <color rgb="FFE8630A"/>
      </left>
      <right style="thin">
        <color rgb="FFE8630A"/>
      </right>
      <top style="thin">
        <color rgb="FFE8630A"/>
      </top>
      <bottom style="thin">
        <color rgb="FFE8630A"/>
      </bottom>
      <diagonal/>
    </border>
    <border>
      <left/>
      <right/>
      <top style="thin">
        <color rgb="FFE8630A"/>
      </top>
      <bottom/>
      <diagonal/>
    </border>
    <border>
      <left/>
      <right style="thin">
        <color rgb="FFE8630A"/>
      </right>
      <top style="thin">
        <color rgb="FFE8630A"/>
      </top>
      <bottom/>
      <diagonal/>
    </border>
    <border>
      <left style="thin">
        <color rgb="FFE8630A"/>
      </left>
      <right/>
      <top/>
      <bottom style="thin">
        <color rgb="FFE8630A"/>
      </bottom>
      <diagonal/>
    </border>
    <border>
      <left/>
      <right/>
      <top/>
      <bottom style="thin">
        <color rgb="FFE8630A"/>
      </bottom>
      <diagonal/>
    </border>
    <border>
      <left/>
      <right style="thin">
        <color rgb="FFE8630A"/>
      </right>
      <top/>
      <bottom style="thin">
        <color rgb="FFE8630A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1" fontId="4" fillId="2" borderId="8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1" fontId="4" fillId="9" borderId="8" xfId="0" applyNumberFormat="1" applyFont="1" applyFill="1" applyBorder="1" applyAlignment="1">
      <alignment horizontal="center" vertical="center"/>
    </xf>
    <xf numFmtId="164" fontId="5" fillId="9" borderId="8" xfId="0" applyNumberFormat="1" applyFont="1" applyFill="1" applyBorder="1" applyAlignment="1">
      <alignment horizontal="center" vertical="center"/>
    </xf>
    <xf numFmtId="165" fontId="4" fillId="9" borderId="8" xfId="0" applyNumberFormat="1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164" fontId="8" fillId="9" borderId="8" xfId="0" applyNumberFormat="1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S"/>
              <a:t>Gráfico — Spread GC vs DFR (pb) y Tipo DFR BCE (%, eje derecho)</a:t>
            </a:r>
          </a:p>
        </c:rich>
      </c:tx>
      <c:layout>
        <c:manualLayout>
          <c:xMode val="edge"/>
          <c:yMode val="edge"/>
          <c:x val="0.14606617063492064"/>
          <c:y val="5.409259259259259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5595238095238094E-3"/>
          <c:y val="1.5010925925925926E-2"/>
          <c:w val="0.93578908730158727"/>
          <c:h val="0.894460370370370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'[1]T7 - GC Repo Spread'!$B$5</c:f>
              <c:strCache>
                <c:ptCount val="1"/>
                <c:pt idx="0">
                  <c:v>Spread GC vs DFR (p.b.)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'[1]T7 - GC Repo Spread'!$E$6:$E$15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'[1]T7 - GC Repo Spread'!$B$6:$B$15</c:f>
              <c:numCache>
                <c:formatCode>\+0;\-0;0</c:formatCode>
                <c:ptCount val="10"/>
                <c:pt idx="0">
                  <c:v>-28</c:v>
                </c:pt>
                <c:pt idx="1">
                  <c:v>-35</c:v>
                </c:pt>
                <c:pt idx="2">
                  <c:v>-42</c:v>
                </c:pt>
                <c:pt idx="3">
                  <c:v>-30</c:v>
                </c:pt>
                <c:pt idx="4">
                  <c:v>-22</c:v>
                </c:pt>
                <c:pt idx="5">
                  <c:v>-18</c:v>
                </c:pt>
                <c:pt idx="6">
                  <c:v>-15</c:v>
                </c:pt>
                <c:pt idx="7">
                  <c:v>8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1526-374B-B300-8C19673D4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'[1]T7 - GC Repo Spread'!$C$5</c:f>
              <c:strCache>
                <c:ptCount val="1"/>
                <c:pt idx="0">
                  <c:v>DFR BCE (%)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'[1]T7 - GC Repo Spread'!$E$6:$E$15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'[1]T7 - GC Repo Spread'!$C$6:$C$15</c:f>
              <c:numCache>
                <c:formatCode>\+0.00%;\-0.00%;0.00%</c:formatCode>
                <c:ptCount val="10"/>
                <c:pt idx="0">
                  <c:v>-2E-3</c:v>
                </c:pt>
                <c:pt idx="1">
                  <c:v>-4.0000000000000001E-3</c:v>
                </c:pt>
                <c:pt idx="2">
                  <c:v>-4.0000000000000001E-3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-5.0000000000000001E-3</c:v>
                </c:pt>
                <c:pt idx="6">
                  <c:v>-5.0000000000000001E-3</c:v>
                </c:pt>
                <c:pt idx="7">
                  <c:v>7.4999999999999997E-3</c:v>
                </c:pt>
                <c:pt idx="8">
                  <c:v>0.04</c:v>
                </c:pt>
                <c:pt idx="9">
                  <c:v>3.5000000000000003E-2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26-374B-B300-8C19673D4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Año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Spread GC vs DFR (puntos básicos)</a:t>
                </a:r>
              </a:p>
            </c:rich>
          </c:tx>
          <c:layout>
            <c:manualLayout>
              <c:xMode val="edge"/>
              <c:yMode val="edge"/>
              <c:x val="1.0079365079365079E-2"/>
              <c:y val="0.2436129629629629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\+0;\-0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"/>
        <c:crosses val="autoZero"/>
        <c:crossBetween val="midCat"/>
      </c:valAx>
      <c:valAx>
        <c:axId val="2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DFR BCE (%)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93DDE2-32DF-AD41-B085-4D6F28AE0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tfg_bd_completo.xlsx" TargetMode="External"/><Relationship Id="rId2" Type="http://schemas.openxmlformats.org/officeDocument/2006/relationships/externalLinkPath" Target="/Users/adrianacarissimo/Downloads/tfg_bd_completo.xlsx" TargetMode="External"/><Relationship Id="rId1" Type="http://schemas.openxmlformats.org/officeDocument/2006/relationships/externalLinkPath" Target="/Users/adrianacarissimo/Downloads/tfg_bd_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 - Índice y Fuentes"/>
      <sheetName val="BD1 - FRED BCE"/>
      <sheetName val="BD2 - Bund Futures"/>
      <sheetName val="BD3 - Yields Soberanos"/>
      <sheetName val="BD4 - BCE MMSR Study"/>
      <sheetName val="T1 - Balance BCE"/>
      <sheetName val="T2 - Tipos BCE"/>
      <sheetName val="T3 - Spread OAT-Bund"/>
      <sheetName val="T4 - Futures RXM6"/>
      <sheetName val="T5 - Repo Europeo"/>
      <sheetName val="T6 - Colateral Soberano"/>
      <sheetName val="T7 - GC Repo Spr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B5" t="str">
            <v>Spread GC vs DFR (p.b.)</v>
          </cell>
          <cell r="C5" t="str">
            <v>DFR BCE (%)</v>
          </cell>
        </row>
        <row r="6">
          <cell r="B6">
            <v>-28</v>
          </cell>
          <cell r="C6">
            <v>-2E-3</v>
          </cell>
          <cell r="E6" t="str">
            <v>2015</v>
          </cell>
        </row>
        <row r="7">
          <cell r="B7">
            <v>-35</v>
          </cell>
          <cell r="C7">
            <v>-4.0000000000000001E-3</v>
          </cell>
          <cell r="E7" t="str">
            <v>2016</v>
          </cell>
        </row>
        <row r="8">
          <cell r="B8">
            <v>-42</v>
          </cell>
          <cell r="C8">
            <v>-4.0000000000000001E-3</v>
          </cell>
          <cell r="E8" t="str">
            <v>2017</v>
          </cell>
        </row>
        <row r="9">
          <cell r="B9">
            <v>-30</v>
          </cell>
          <cell r="C9">
            <v>-4.0000000000000001E-3</v>
          </cell>
          <cell r="E9" t="str">
            <v>2018</v>
          </cell>
        </row>
        <row r="10">
          <cell r="B10">
            <v>-22</v>
          </cell>
          <cell r="C10">
            <v>-5.0000000000000001E-3</v>
          </cell>
          <cell r="E10" t="str">
            <v>2019</v>
          </cell>
        </row>
        <row r="11">
          <cell r="B11">
            <v>-18</v>
          </cell>
          <cell r="C11">
            <v>-5.0000000000000001E-3</v>
          </cell>
          <cell r="E11" t="str">
            <v>2020</v>
          </cell>
        </row>
        <row r="12">
          <cell r="B12">
            <v>-15</v>
          </cell>
          <cell r="C12">
            <v>-5.0000000000000001E-3</v>
          </cell>
          <cell r="E12" t="str">
            <v>2021</v>
          </cell>
        </row>
        <row r="13">
          <cell r="B13">
            <v>8</v>
          </cell>
          <cell r="C13">
            <v>7.4999999999999997E-3</v>
          </cell>
          <cell r="E13" t="str">
            <v>2022</v>
          </cell>
        </row>
        <row r="14">
          <cell r="B14">
            <v>5</v>
          </cell>
          <cell r="C14">
            <v>0.04</v>
          </cell>
          <cell r="E14" t="str">
            <v>2023</v>
          </cell>
        </row>
        <row r="15">
          <cell r="B15">
            <v>2</v>
          </cell>
          <cell r="C15">
            <v>3.5000000000000003E-2</v>
          </cell>
          <cell r="E15" t="str">
            <v>2024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42B1-E4C8-6D45-9BC1-F39F4E3CE66A}">
  <dimension ref="A1:E17"/>
  <sheetViews>
    <sheetView tabSelected="1" topLeftCell="B1" workbookViewId="0">
      <selection activeCell="H4" sqref="H4"/>
    </sheetView>
  </sheetViews>
  <sheetFormatPr baseColWidth="10" defaultRowHeight="16" x14ac:dyDescent="0.2"/>
  <sheetData>
    <row r="1" spans="1:5" x14ac:dyDescent="0.2">
      <c r="A1" s="1" t="s">
        <v>0</v>
      </c>
      <c r="B1" s="2"/>
      <c r="C1" s="2"/>
      <c r="D1" s="2"/>
      <c r="E1" s="2"/>
    </row>
    <row r="2" spans="1:5" x14ac:dyDescent="0.2">
      <c r="A2" s="3"/>
      <c r="B2" s="2"/>
      <c r="C2" s="2"/>
      <c r="D2" s="2"/>
      <c r="E2" s="2"/>
    </row>
    <row r="3" spans="1:5" x14ac:dyDescent="0.2">
      <c r="A3" s="4" t="s">
        <v>1</v>
      </c>
      <c r="B3" s="5"/>
      <c r="C3" s="5"/>
      <c r="D3" s="5"/>
      <c r="E3" s="6"/>
    </row>
    <row r="4" spans="1:5" x14ac:dyDescent="0.2">
      <c r="A4" s="7"/>
      <c r="B4" s="8"/>
      <c r="C4" s="8"/>
      <c r="D4" s="8"/>
      <c r="E4" s="9"/>
    </row>
    <row r="5" spans="1:5" ht="30" x14ac:dyDescent="0.2">
      <c r="A5" s="10" t="s">
        <v>2</v>
      </c>
      <c r="B5" s="10" t="s">
        <v>3</v>
      </c>
      <c r="C5" s="10" t="s">
        <v>4</v>
      </c>
      <c r="D5" s="10" t="s">
        <v>5</v>
      </c>
      <c r="E5" s="11" t="s">
        <v>6</v>
      </c>
    </row>
    <row r="6" spans="1:5" x14ac:dyDescent="0.2">
      <c r="A6" s="12">
        <v>2015</v>
      </c>
      <c r="B6" s="13">
        <v>-28</v>
      </c>
      <c r="C6" s="14">
        <v>-2E-3</v>
      </c>
      <c r="D6" s="15" t="s">
        <v>7</v>
      </c>
      <c r="E6" s="16" t="s">
        <v>8</v>
      </c>
    </row>
    <row r="7" spans="1:5" x14ac:dyDescent="0.2">
      <c r="A7" s="17">
        <v>2016</v>
      </c>
      <c r="B7" s="18">
        <v>-35</v>
      </c>
      <c r="C7" s="19">
        <v>-4.0000000000000001E-3</v>
      </c>
      <c r="D7" s="15" t="s">
        <v>7</v>
      </c>
      <c r="E7" s="16" t="s">
        <v>9</v>
      </c>
    </row>
    <row r="8" spans="1:5" x14ac:dyDescent="0.2">
      <c r="A8" s="12">
        <v>2017</v>
      </c>
      <c r="B8" s="13">
        <v>-42</v>
      </c>
      <c r="C8" s="14">
        <v>-4.0000000000000001E-3</v>
      </c>
      <c r="D8" s="15" t="s">
        <v>7</v>
      </c>
      <c r="E8" s="16" t="s">
        <v>10</v>
      </c>
    </row>
    <row r="9" spans="1:5" x14ac:dyDescent="0.2">
      <c r="A9" s="17">
        <v>2018</v>
      </c>
      <c r="B9" s="18">
        <v>-30</v>
      </c>
      <c r="C9" s="19">
        <v>-4.0000000000000001E-3</v>
      </c>
      <c r="D9" s="15" t="s">
        <v>7</v>
      </c>
      <c r="E9" s="16" t="s">
        <v>11</v>
      </c>
    </row>
    <row r="10" spans="1:5" x14ac:dyDescent="0.2">
      <c r="A10" s="12">
        <v>2019</v>
      </c>
      <c r="B10" s="13">
        <v>-22</v>
      </c>
      <c r="C10" s="14">
        <v>-5.0000000000000001E-3</v>
      </c>
      <c r="D10" s="15" t="s">
        <v>7</v>
      </c>
      <c r="E10" s="16" t="s">
        <v>12</v>
      </c>
    </row>
    <row r="11" spans="1:5" x14ac:dyDescent="0.2">
      <c r="A11" s="17">
        <v>2020</v>
      </c>
      <c r="B11" s="18">
        <v>-18</v>
      </c>
      <c r="C11" s="19">
        <v>-5.0000000000000001E-3</v>
      </c>
      <c r="D11" s="20" t="s">
        <v>13</v>
      </c>
      <c r="E11" s="16" t="s">
        <v>14</v>
      </c>
    </row>
    <row r="12" spans="1:5" x14ac:dyDescent="0.2">
      <c r="A12" s="12">
        <v>2021</v>
      </c>
      <c r="B12" s="13">
        <v>-15</v>
      </c>
      <c r="C12" s="14">
        <v>-5.0000000000000001E-3</v>
      </c>
      <c r="D12" s="20" t="s">
        <v>13</v>
      </c>
      <c r="E12" s="16" t="s">
        <v>15</v>
      </c>
    </row>
    <row r="13" spans="1:5" x14ac:dyDescent="0.2">
      <c r="A13" s="17">
        <v>2022</v>
      </c>
      <c r="B13" s="21">
        <v>8</v>
      </c>
      <c r="C13" s="19">
        <v>7.4999999999999997E-3</v>
      </c>
      <c r="D13" s="22" t="s">
        <v>16</v>
      </c>
      <c r="E13" s="16" t="s">
        <v>17</v>
      </c>
    </row>
    <row r="14" spans="1:5" x14ac:dyDescent="0.2">
      <c r="A14" s="12">
        <v>2023</v>
      </c>
      <c r="B14" s="23">
        <v>5</v>
      </c>
      <c r="C14" s="14">
        <v>0.04</v>
      </c>
      <c r="D14" s="22" t="s">
        <v>16</v>
      </c>
      <c r="E14" s="16" t="s">
        <v>18</v>
      </c>
    </row>
    <row r="15" spans="1:5" x14ac:dyDescent="0.2">
      <c r="A15" s="17">
        <v>2024</v>
      </c>
      <c r="B15" s="21">
        <v>2</v>
      </c>
      <c r="C15" s="19">
        <v>3.5000000000000003E-2</v>
      </c>
      <c r="D15" s="22" t="s">
        <v>16</v>
      </c>
      <c r="E15" s="16" t="s">
        <v>19</v>
      </c>
    </row>
    <row r="16" spans="1:5" x14ac:dyDescent="0.2">
      <c r="A16" s="24" t="s">
        <v>20</v>
      </c>
      <c r="B16" s="2"/>
      <c r="C16" s="2"/>
      <c r="D16" s="2"/>
    </row>
    <row r="17" spans="1:5" x14ac:dyDescent="0.2">
      <c r="A17" s="25" t="s">
        <v>21</v>
      </c>
      <c r="B17" s="2"/>
      <c r="C17" s="2"/>
      <c r="D17" s="2"/>
      <c r="E17" s="2"/>
    </row>
  </sheetData>
  <mergeCells count="5">
    <mergeCell ref="A1:E1"/>
    <mergeCell ref="A2:E2"/>
    <mergeCell ref="A3:E4"/>
    <mergeCell ref="A16:D16"/>
    <mergeCell ref="A17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CARISSIMOGOMILA ADRIANA</dc:creator>
  <cp:lastModifiedBy>CARISSIMOGOMILA ADRIANA</cp:lastModifiedBy>
  <dcterms:created xsi:type="dcterms:W3CDTF">2026-05-23T18:22:54Z</dcterms:created>
  <dcterms:modified xsi:type="dcterms:W3CDTF">2026-05-23T18:23:32Z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7f3165-8a52-429a-ab2a-1fd572a4c07f_Enabled">
    <vt:lpwstr>true</vt:lpwstr>
  </property>
  <property fmtid="{D5CDD505-2E9C-101B-9397-08002B2CF9AE}" pid="3" name="MSIP_Label_e17f3165-8a52-429a-ab2a-1fd572a4c07f_SetDate">
    <vt:lpwstr>2026-05-23T18:23:25Z</vt:lpwstr>
  </property>
  <property fmtid="{D5CDD505-2E9C-101B-9397-08002B2CF9AE}" pid="4" name="MSIP_Label_e17f3165-8a52-429a-ab2a-1fd572a4c07f_Method">
    <vt:lpwstr>Standard</vt:lpwstr>
  </property>
  <property fmtid="{D5CDD505-2E9C-101B-9397-08002B2CF9AE}" pid="5" name="MSIP_Label_e17f3165-8a52-429a-ab2a-1fd572a4c07f_Name">
    <vt:lpwstr>defa4170-0d19-0005-0004-bc88714345d2</vt:lpwstr>
  </property>
  <property fmtid="{D5CDD505-2E9C-101B-9397-08002B2CF9AE}" pid="6" name="MSIP_Label_e17f3165-8a52-429a-ab2a-1fd572a4c07f_SiteId">
    <vt:lpwstr>6b3a59c1-9475-4729-b8d9-f72ffd0dd0cd</vt:lpwstr>
  </property>
  <property fmtid="{D5CDD505-2E9C-101B-9397-08002B2CF9AE}" pid="7" name="MSIP_Label_e17f3165-8a52-429a-ab2a-1fd572a4c07f_ActionId">
    <vt:lpwstr>a8c6bd3e-3ee5-4017-9cc4-bc2807e5936c</vt:lpwstr>
  </property>
  <property fmtid="{D5CDD505-2E9C-101B-9397-08002B2CF9AE}" pid="8" name="MSIP_Label_e17f3165-8a52-429a-ab2a-1fd572a4c07f_ContentBits">
    <vt:lpwstr>0</vt:lpwstr>
  </property>
  <property fmtid="{D5CDD505-2E9C-101B-9397-08002B2CF9AE}" pid="9" name="MSIP_Label_e17f3165-8a52-429a-ab2a-1fd572a4c07f_Tag">
    <vt:lpwstr>50, 3, 0, 1</vt:lpwstr>
  </property>
</Properties>
</file>